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yuvrajrajput/Documents/Excel/Practice Files/Margin Analysis/"/>
    </mc:Choice>
  </mc:AlternateContent>
  <xr:revisionPtr revIDLastSave="0" documentId="13_ncr:1_{91E65061-D061-A040-B7AE-8235659FF69C}" xr6:coauthVersionLast="47" xr6:coauthVersionMax="47" xr10:uidLastSave="{00000000-0000-0000-0000-000000000000}"/>
  <bookViews>
    <workbookView xWindow="0" yWindow="0" windowWidth="38400" windowHeight="21600" xr2:uid="{EFF56C28-663C-3342-9833-C1FD5ABBCB30}"/>
  </bookViews>
  <sheets>
    <sheet name="Raw_Financial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c r="F13" i="1"/>
  <c r="G13" i="1"/>
  <c r="H13" i="1"/>
  <c r="I13" i="1"/>
  <c r="J13" i="1"/>
  <c r="K13" i="1"/>
  <c r="L13" i="1"/>
  <c r="E80" i="1"/>
  <c r="F80" i="1"/>
  <c r="G80" i="1"/>
  <c r="H80" i="1"/>
  <c r="I80" i="1"/>
  <c r="J80" i="1"/>
  <c r="K80" i="1"/>
  <c r="L80" i="1"/>
  <c r="D80" i="1"/>
  <c r="D113" i="1"/>
  <c r="E113" i="1"/>
  <c r="F113" i="1"/>
  <c r="G113" i="1"/>
  <c r="H113" i="1"/>
  <c r="I113" i="1"/>
  <c r="J113" i="1"/>
  <c r="K113" i="1"/>
  <c r="L113" i="1"/>
  <c r="C113" i="1"/>
  <c r="D79" i="1"/>
  <c r="E79" i="1"/>
  <c r="F79" i="1"/>
  <c r="G79" i="1"/>
  <c r="H79" i="1"/>
  <c r="I79" i="1"/>
  <c r="J79" i="1"/>
  <c r="K79" i="1"/>
  <c r="L79" i="1"/>
  <c r="C79" i="1"/>
  <c r="D47" i="1"/>
  <c r="E47" i="1"/>
  <c r="F47" i="1"/>
  <c r="G47" i="1"/>
  <c r="H47" i="1"/>
  <c r="I47" i="1"/>
  <c r="J47" i="1"/>
  <c r="K47" i="1"/>
  <c r="L47" i="1"/>
  <c r="C47" i="1"/>
</calcChain>
</file>

<file path=xl/sharedStrings.xml><?xml version="1.0" encoding="utf-8"?>
<sst xmlns="http://schemas.openxmlformats.org/spreadsheetml/2006/main" count="22" uniqueCount="22">
  <si>
    <t>Line Item</t>
  </si>
  <si>
    <t>FY2015</t>
  </si>
  <si>
    <t>FY2016</t>
  </si>
  <si>
    <t>FY2017</t>
  </si>
  <si>
    <t>FY2018</t>
  </si>
  <si>
    <t>FY2019</t>
  </si>
  <si>
    <t>FY2020</t>
  </si>
  <si>
    <t>FY2021</t>
  </si>
  <si>
    <t>FY2022</t>
  </si>
  <si>
    <t>FY2023</t>
  </si>
  <si>
    <t>FY2024</t>
  </si>
  <si>
    <t>COGS</t>
  </si>
  <si>
    <t>Gross Profit</t>
  </si>
  <si>
    <t>SG&amp;A Expenses</t>
  </si>
  <si>
    <t>Other Operating Charges</t>
  </si>
  <si>
    <t>Operating Income (EBIT)</t>
  </si>
  <si>
    <t>Net Operating Revenues</t>
  </si>
  <si>
    <t>Revenue Growth in %</t>
  </si>
  <si>
    <t>Gross Margin %</t>
  </si>
  <si>
    <t>SG&amp;A as % of Revenue</t>
  </si>
  <si>
    <t>EBIT Margin %</t>
  </si>
  <si>
    <t>Change in SG&amp;A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</si>
</sst>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164" formatCode="0.0%"/>
  </numFmts>
  <fonts count="5" x14ac:knownFonts="1">
    <font>
      <sz val="12"/>
      <color theme="1"/>
      <name val="Aptos Narrow"/>
      <family val="2"/>
      <scheme val="minor"/>
    </font>
    <font>
      <b/>
      <sz val="12"/>
      <color theme="1"/>
      <name val="Aptos Narrow"/>
      <scheme val="minor"/>
    </font>
    <font>
      <sz val="8"/>
      <name val="Aptos Narrow"/>
      <family val="2"/>
      <scheme val="minor"/>
    </font>
    <font>
      <b/>
      <sz val="12"/>
      <color rgb="FF0070C0"/>
      <name val="Aptos Narrow"/>
      <scheme val="minor"/>
    </font>
    <font>
      <sz val="12"/>
      <color rgb="FF0070C0"/>
      <name val="Aptos Narrow"/>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bottom style="thin">
        <color indexed="64"/>
      </bottom>
      <diagonal/>
    </border>
  </borders>
  <cellStyleXfs count="1">
    <xf numFmtId="0" fontId="0" fillId="0" borderId="0"/>
  </cellStyleXfs>
  <cellXfs count="16">
    <xf numFmtId="0" fontId="0" fillId="0" borderId="0" xfId="0"/>
    <xf numFmtId="0" fontId="1" fillId="0" borderId="0" xfId="0" applyFont="1"/>
    <xf numFmtId="0" fontId="1" fillId="0" borderId="1" xfId="0" applyFont="1" applyBorder="1"/>
    <xf numFmtId="0" fontId="1" fillId="0" borderId="1" xfId="0" applyFont="1" applyBorder="1" applyAlignment="1">
      <alignment horizontal="center"/>
    </xf>
    <xf numFmtId="0" fontId="0" fillId="0" borderId="0" xfId="0" applyAlignment="1">
      <alignment horizontal="center"/>
    </xf>
    <xf numFmtId="0" fontId="0" fillId="0" borderId="2" xfId="0" applyBorder="1"/>
    <xf numFmtId="0" fontId="0" fillId="0" borderId="1" xfId="0" applyBorder="1"/>
    <xf numFmtId="0" fontId="0" fillId="0" borderId="1" xfId="0" applyBorder="1" applyAlignment="1">
      <alignment horizontal="center"/>
    </xf>
    <xf numFmtId="42" fontId="3" fillId="0" borderId="0" xfId="0" applyNumberFormat="1" applyFont="1" applyAlignment="1">
      <alignment horizontal="center"/>
    </xf>
    <xf numFmtId="42" fontId="4" fillId="0" borderId="2" xfId="0" applyNumberFormat="1" applyFont="1" applyBorder="1" applyAlignment="1">
      <alignment horizontal="center"/>
    </xf>
    <xf numFmtId="42" fontId="4" fillId="0" borderId="0" xfId="0" applyNumberFormat="1" applyFont="1" applyAlignment="1">
      <alignment horizontal="center"/>
    </xf>
    <xf numFmtId="42" fontId="4" fillId="0" borderId="1" xfId="0" applyNumberFormat="1" applyFont="1" applyBorder="1" applyAlignment="1">
      <alignment horizontal="center"/>
    </xf>
    <xf numFmtId="164" fontId="0" fillId="0" borderId="0" xfId="0" applyNumberFormat="1"/>
    <xf numFmtId="0" fontId="1" fillId="0" borderId="0" xfId="0" applyFont="1" applyAlignment="1">
      <alignment horizontal="center"/>
    </xf>
    <xf numFmtId="9" fontId="0" fillId="0" borderId="0" xfId="0" applyNumberFormat="1" applyAlignment="1">
      <alignment horizontal="center"/>
    </xf>
    <xf numFmtId="16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Raw_Financials!$A$13:$A$13</c:f>
              <c:strCache>
                <c:ptCount val="1"/>
              </c:strCache>
            </c:strRef>
          </c:tx>
          <c:spPr>
            <a:ln w="28575" cap="rnd">
              <a:solidFill>
                <a:schemeClr val="accent1"/>
              </a:solidFill>
              <a:round/>
            </a:ln>
            <a:effectLst/>
          </c:spPr>
          <c:marker>
            <c:symbol val="none"/>
          </c:marker>
          <c:cat>
            <c:numRef>
              <c:f>Raw_Financials!$C$12:$L$12</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Raw_Financials!$C$13:$L$13</c:f>
              <c:numCache>
                <c:formatCode>0.0%</c:formatCode>
                <c:ptCount val="10"/>
                <c:pt idx="1">
                  <c:v>-5.5492843274484116E-2</c:v>
                </c:pt>
                <c:pt idx="2">
                  <c:v>-0.13442967778946358</c:v>
                </c:pt>
                <c:pt idx="3">
                  <c:v>-5.2800176736993221E-2</c:v>
                </c:pt>
                <c:pt idx="4">
                  <c:v>8.647230320699717E-2</c:v>
                </c:pt>
                <c:pt idx="5">
                  <c:v>-0.11409864219395693</c:v>
                </c:pt>
                <c:pt idx="6">
                  <c:v>0.17086690494941537</c:v>
                </c:pt>
                <c:pt idx="7">
                  <c:v>0.11250808433579107</c:v>
                </c:pt>
                <c:pt idx="8">
                  <c:v>6.3947539763743011E-2</c:v>
                </c:pt>
                <c:pt idx="9">
                  <c:v>2.8565808453905772E-2</c:v>
                </c:pt>
              </c:numCache>
            </c:numRef>
          </c:val>
          <c:smooth val="0"/>
          <c:extLst>
            <c:ext xmlns:c16="http://schemas.microsoft.com/office/drawing/2014/chart" uri="{C3380CC4-5D6E-409C-BE32-E72D297353CC}">
              <c16:uniqueId val="{00000000-74F9-F844-A0B3-5648CBA01952}"/>
            </c:ext>
          </c:extLst>
        </c:ser>
        <c:dLbls>
          <c:showLegendKey val="0"/>
          <c:showVal val="0"/>
          <c:showCatName val="0"/>
          <c:showSerName val="0"/>
          <c:showPercent val="0"/>
          <c:showBubbleSize val="0"/>
        </c:dLbls>
        <c:smooth val="0"/>
        <c:axId val="530193679"/>
        <c:axId val="530235455"/>
      </c:lineChart>
      <c:catAx>
        <c:axId val="53019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35455"/>
        <c:crosses val="autoZero"/>
        <c:auto val="1"/>
        <c:lblAlgn val="ctr"/>
        <c:lblOffset val="100"/>
        <c:noMultiLvlLbl val="0"/>
      </c:catAx>
      <c:valAx>
        <c:axId val="530235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936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Raw_Financials!$B$47</c:f>
              <c:strCache>
                <c:ptCount val="1"/>
                <c:pt idx="0">
                  <c:v>Gross Margin %</c:v>
                </c:pt>
              </c:strCache>
            </c:strRef>
          </c:tx>
          <c:spPr>
            <a:ln w="28575" cap="rnd">
              <a:solidFill>
                <a:schemeClr val="accent1"/>
              </a:solidFill>
              <a:round/>
            </a:ln>
            <a:effectLst/>
          </c:spPr>
          <c:marker>
            <c:symbol val="none"/>
          </c:marker>
          <c:cat>
            <c:numRef>
              <c:f>Raw_Financials!$C$46:$L$46</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Raw_Financials!$C$47:$L$47</c:f>
              <c:numCache>
                <c:formatCode>0.0%</c:formatCode>
                <c:ptCount val="10"/>
                <c:pt idx="0">
                  <c:v>0.60531900483135415</c:v>
                </c:pt>
                <c:pt idx="1">
                  <c:v>0.60708480734295822</c:v>
                </c:pt>
                <c:pt idx="2">
                  <c:v>0.62109245553960013</c:v>
                </c:pt>
                <c:pt idx="3">
                  <c:v>0.61903790087463562</c:v>
                </c:pt>
                <c:pt idx="4">
                  <c:v>0.60771212365158589</c:v>
                </c:pt>
                <c:pt idx="5">
                  <c:v>0.59311201308535777</c:v>
                </c:pt>
                <c:pt idx="6">
                  <c:v>0.60271633682576642</c:v>
                </c:pt>
                <c:pt idx="7">
                  <c:v>0.58143428518277374</c:v>
                </c:pt>
                <c:pt idx="8">
                  <c:v>0.5952266468505486</c:v>
                </c:pt>
                <c:pt idx="9">
                  <c:v>0.61063300822336963</c:v>
                </c:pt>
              </c:numCache>
            </c:numRef>
          </c:val>
          <c:smooth val="0"/>
          <c:extLst>
            <c:ext xmlns:c16="http://schemas.microsoft.com/office/drawing/2014/chart" uri="{C3380CC4-5D6E-409C-BE32-E72D297353CC}">
              <c16:uniqueId val="{00000000-76C9-BC4A-85F4-3918A018432A}"/>
            </c:ext>
          </c:extLst>
        </c:ser>
        <c:dLbls>
          <c:showLegendKey val="0"/>
          <c:showVal val="0"/>
          <c:showCatName val="0"/>
          <c:showSerName val="0"/>
          <c:showPercent val="0"/>
          <c:showBubbleSize val="0"/>
        </c:dLbls>
        <c:smooth val="0"/>
        <c:axId val="522265663"/>
        <c:axId val="523223359"/>
      </c:lineChart>
      <c:catAx>
        <c:axId val="52226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223359"/>
        <c:crosses val="autoZero"/>
        <c:auto val="1"/>
        <c:lblAlgn val="ctr"/>
        <c:lblOffset val="100"/>
        <c:noMultiLvlLbl val="0"/>
      </c:catAx>
      <c:valAx>
        <c:axId val="523223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2656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Raw_Financials!$A$79:$B$79</c:f>
              <c:strCache>
                <c:ptCount val="2"/>
                <c:pt idx="1">
                  <c:v>SG&amp;A as % of Revenue</c:v>
                </c:pt>
              </c:strCache>
            </c:strRef>
          </c:tx>
          <c:spPr>
            <a:ln w="28575" cap="rnd">
              <a:solidFill>
                <a:schemeClr val="accent1"/>
              </a:solidFill>
              <a:round/>
            </a:ln>
            <a:effectLst/>
          </c:spPr>
          <c:marker>
            <c:symbol val="none"/>
          </c:marker>
          <c:cat>
            <c:numRef>
              <c:f>Raw_Financials!$C$78:$L$78</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Raw_Financials!$C$79:$L$79</c:f>
              <c:numCache>
                <c:formatCode>0.0%</c:formatCode>
                <c:ptCount val="10"/>
                <c:pt idx="0">
                  <c:v>0.37086287081771796</c:v>
                </c:pt>
                <c:pt idx="1">
                  <c:v>0.36738693947796158</c:v>
                </c:pt>
                <c:pt idx="2">
                  <c:v>0.35441290180050811</c:v>
                </c:pt>
                <c:pt idx="3">
                  <c:v>0.32075801749271138</c:v>
                </c:pt>
                <c:pt idx="4">
                  <c:v>0.32235818172060321</c:v>
                </c:pt>
                <c:pt idx="5">
                  <c:v>0.29475374083722056</c:v>
                </c:pt>
                <c:pt idx="6">
                  <c:v>0.31416375630578192</c:v>
                </c:pt>
                <c:pt idx="7">
                  <c:v>0.29950702260254858</c:v>
                </c:pt>
                <c:pt idx="8">
                  <c:v>0.30537220789439173</c:v>
                </c:pt>
                <c:pt idx="9">
                  <c:v>0.30985316929092027</c:v>
                </c:pt>
              </c:numCache>
            </c:numRef>
          </c:val>
          <c:smooth val="0"/>
          <c:extLst>
            <c:ext xmlns:c16="http://schemas.microsoft.com/office/drawing/2014/chart" uri="{C3380CC4-5D6E-409C-BE32-E72D297353CC}">
              <c16:uniqueId val="{00000000-B8C5-424D-AF63-A92C7F77AAC2}"/>
            </c:ext>
          </c:extLst>
        </c:ser>
        <c:dLbls>
          <c:showLegendKey val="0"/>
          <c:showVal val="0"/>
          <c:showCatName val="0"/>
          <c:showSerName val="0"/>
          <c:showPercent val="0"/>
          <c:showBubbleSize val="0"/>
        </c:dLbls>
        <c:smooth val="0"/>
        <c:axId val="529702783"/>
        <c:axId val="930483279"/>
      </c:lineChart>
      <c:catAx>
        <c:axId val="52970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83279"/>
        <c:crosses val="autoZero"/>
        <c:auto val="1"/>
        <c:lblAlgn val="ctr"/>
        <c:lblOffset val="100"/>
        <c:noMultiLvlLbl val="0"/>
      </c:catAx>
      <c:valAx>
        <c:axId val="930483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02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Raw_Financials!$A$113:$B$113</c:f>
              <c:strCache>
                <c:ptCount val="2"/>
                <c:pt idx="1">
                  <c:v>EBIT Margin %</c:v>
                </c:pt>
              </c:strCache>
            </c:strRef>
          </c:tx>
          <c:spPr>
            <a:ln w="28575" cap="rnd">
              <a:solidFill>
                <a:schemeClr val="accent1"/>
              </a:solidFill>
              <a:round/>
            </a:ln>
            <a:effectLst/>
          </c:spPr>
          <c:marker>
            <c:symbol val="none"/>
          </c:marker>
          <c:cat>
            <c:numRef>
              <c:f>Raw_Financials!$C$112:$L$112</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Raw_Financials!$C$113:$L$113</c:f>
              <c:numCache>
                <c:formatCode>0.0%</c:formatCode>
                <c:ptCount val="10"/>
                <c:pt idx="0">
                  <c:v>0.19704700410890866</c:v>
                </c:pt>
                <c:pt idx="1">
                  <c:v>0.2069270484749976</c:v>
                </c:pt>
                <c:pt idx="2">
                  <c:v>0.21415552855407047</c:v>
                </c:pt>
                <c:pt idx="3">
                  <c:v>0.26682215743440235</c:v>
                </c:pt>
                <c:pt idx="4">
                  <c:v>0.27064884881661566</c:v>
                </c:pt>
                <c:pt idx="5">
                  <c:v>0.27252074877324772</c:v>
                </c:pt>
                <c:pt idx="6">
                  <c:v>0.26666666666666666</c:v>
                </c:pt>
                <c:pt idx="7">
                  <c:v>0.25367407683006232</c:v>
                </c:pt>
                <c:pt idx="8">
                  <c:v>0.24721335839489444</c:v>
                </c:pt>
                <c:pt idx="9">
                  <c:v>0.21232018019166612</c:v>
                </c:pt>
              </c:numCache>
            </c:numRef>
          </c:val>
          <c:smooth val="0"/>
          <c:extLst>
            <c:ext xmlns:c16="http://schemas.microsoft.com/office/drawing/2014/chart" uri="{C3380CC4-5D6E-409C-BE32-E72D297353CC}">
              <c16:uniqueId val="{00000000-ED6B-5D4C-9DE8-8A00A8CF6A92}"/>
            </c:ext>
          </c:extLst>
        </c:ser>
        <c:dLbls>
          <c:showLegendKey val="0"/>
          <c:showVal val="0"/>
          <c:showCatName val="0"/>
          <c:showSerName val="0"/>
          <c:showPercent val="0"/>
          <c:showBubbleSize val="0"/>
        </c:dLbls>
        <c:smooth val="0"/>
        <c:axId val="532829151"/>
        <c:axId val="506701599"/>
      </c:lineChart>
      <c:catAx>
        <c:axId val="53282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701599"/>
        <c:crosses val="autoZero"/>
        <c:auto val="1"/>
        <c:lblAlgn val="ctr"/>
        <c:lblOffset val="100"/>
        <c:noMultiLvlLbl val="0"/>
      </c:catAx>
      <c:valAx>
        <c:axId val="506701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829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Raw_Financials!$B$80</c:f>
              <c:strCache>
                <c:ptCount val="1"/>
                <c:pt idx="0">
                  <c:v>Change in SG&amp;A Expense</c:v>
                </c:pt>
              </c:strCache>
            </c:strRef>
          </c:tx>
          <c:spPr>
            <a:ln w="28575" cap="rnd">
              <a:solidFill>
                <a:schemeClr val="accent1"/>
              </a:solidFill>
              <a:round/>
            </a:ln>
            <a:effectLst/>
          </c:spPr>
          <c:marker>
            <c:symbol val="none"/>
          </c:marker>
          <c:cat>
            <c:numRef>
              <c:f>Raw_Financials!$C$78:$L$78</c:f>
              <c:numCache>
                <c:formatCode>General</c:formatCode>
                <c:ptCount val="10"/>
                <c:pt idx="0">
                  <c:v>2015</c:v>
                </c:pt>
                <c:pt idx="1">
                  <c:v>2016</c:v>
                </c:pt>
                <c:pt idx="2">
                  <c:v>2017</c:v>
                </c:pt>
                <c:pt idx="3">
                  <c:v>2018</c:v>
                </c:pt>
                <c:pt idx="4">
                  <c:v>2019</c:v>
                </c:pt>
                <c:pt idx="5">
                  <c:v>2020</c:v>
                </c:pt>
                <c:pt idx="6">
                  <c:v>2021</c:v>
                </c:pt>
                <c:pt idx="7">
                  <c:v>2022</c:v>
                </c:pt>
                <c:pt idx="8">
                  <c:v>2023</c:v>
                </c:pt>
                <c:pt idx="9">
                  <c:v>2024</c:v>
                </c:pt>
              </c:numCache>
            </c:numRef>
          </c:cat>
          <c:val>
            <c:numRef>
              <c:f>Raw_Financials!$C$80:$L$80</c:f>
              <c:numCache>
                <c:formatCode>0%</c:formatCode>
                <c:ptCount val="10"/>
                <c:pt idx="1">
                  <c:v>-6.4345285201193203E-2</c:v>
                </c:pt>
                <c:pt idx="2">
                  <c:v>-0.16499674690956412</c:v>
                </c:pt>
                <c:pt idx="3">
                  <c:v>-0.14274583138538255</c:v>
                </c:pt>
                <c:pt idx="4">
                  <c:v>9.189238320305404E-2</c:v>
                </c:pt>
                <c:pt idx="5">
                  <c:v>-0.18996087571797216</c:v>
                </c:pt>
                <c:pt idx="6">
                  <c:v>0.24797040386394009</c:v>
                </c:pt>
                <c:pt idx="7">
                  <c:v>6.0606060606060552E-2</c:v>
                </c:pt>
                <c:pt idx="8">
                  <c:v>8.478260869565224E-2</c:v>
                </c:pt>
                <c:pt idx="9">
                  <c:v>4.3658746063555576E-2</c:v>
                </c:pt>
              </c:numCache>
            </c:numRef>
          </c:val>
          <c:smooth val="0"/>
          <c:extLst>
            <c:ext xmlns:c16="http://schemas.microsoft.com/office/drawing/2014/chart" uri="{C3380CC4-5D6E-409C-BE32-E72D297353CC}">
              <c16:uniqueId val="{00000000-D940-324A-B55C-0314A8885726}"/>
            </c:ext>
          </c:extLst>
        </c:ser>
        <c:dLbls>
          <c:showLegendKey val="0"/>
          <c:showVal val="0"/>
          <c:showCatName val="0"/>
          <c:showSerName val="0"/>
          <c:showPercent val="0"/>
          <c:showBubbleSize val="0"/>
        </c:dLbls>
        <c:smooth val="0"/>
        <c:axId val="847689248"/>
        <c:axId val="847617888"/>
      </c:lineChart>
      <c:catAx>
        <c:axId val="84768924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617888"/>
        <c:crosses val="autoZero"/>
        <c:auto val="1"/>
        <c:lblAlgn val="ctr"/>
        <c:lblOffset val="100"/>
        <c:noMultiLvlLbl val="0"/>
      </c:catAx>
      <c:valAx>
        <c:axId val="84761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689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13</xdr:col>
      <xdr:colOff>806450</xdr:colOff>
      <xdr:row>15</xdr:row>
      <xdr:rowOff>190500</xdr:rowOff>
    </xdr:from>
    <xdr:to>
      <xdr:col>22</xdr:col>
      <xdr:colOff>215900</xdr:colOff>
      <xdr:row>37</xdr:row>
      <xdr:rowOff>88900</xdr:rowOff>
    </xdr:to>
    <xdr:graphicFrame macro="">
      <xdr:nvGraphicFramePr>
        <xdr:cNvPr id="10" name="Chart 9">
          <a:extLst>
            <a:ext uri="{FF2B5EF4-FFF2-40B4-BE49-F238E27FC236}">
              <a16:creationId xmlns:a16="http://schemas.microsoft.com/office/drawing/2014/main" id="{45BA3CE4-347B-A38E-DAEC-F27B152C0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31750</xdr:colOff>
      <xdr:row>49</xdr:row>
      <xdr:rowOff>190500</xdr:rowOff>
    </xdr:from>
    <xdr:to>
      <xdr:col>21</xdr:col>
      <xdr:colOff>711200</xdr:colOff>
      <xdr:row>70</xdr:row>
      <xdr:rowOff>38100</xdr:rowOff>
    </xdr:to>
    <xdr:graphicFrame macro="">
      <xdr:nvGraphicFramePr>
        <xdr:cNvPr id="11" name="Chart 10">
          <a:extLst>
            <a:ext uri="{FF2B5EF4-FFF2-40B4-BE49-F238E27FC236}">
              <a16:creationId xmlns:a16="http://schemas.microsoft.com/office/drawing/2014/main" id="{28DB5706-6252-8D34-17B9-5F736F596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165100</xdr:colOff>
      <xdr:row>79</xdr:row>
      <xdr:rowOff>165100</xdr:rowOff>
    </xdr:from>
    <xdr:to>
      <xdr:col>23</xdr:col>
      <xdr:colOff>635000</xdr:colOff>
      <xdr:row>100</xdr:row>
      <xdr:rowOff>165100</xdr:rowOff>
    </xdr:to>
    <xdr:graphicFrame macro="">
      <xdr:nvGraphicFramePr>
        <xdr:cNvPr id="12" name="Chart 11">
          <a:extLst>
            <a:ext uri="{FF2B5EF4-FFF2-40B4-BE49-F238E27FC236}">
              <a16:creationId xmlns:a16="http://schemas.microsoft.com/office/drawing/2014/main" id="{529439E4-3DDD-C2A8-7D22-77794E4E3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400050</xdr:colOff>
      <xdr:row>115</xdr:row>
      <xdr:rowOff>101600</xdr:rowOff>
    </xdr:from>
    <xdr:to>
      <xdr:col>24</xdr:col>
      <xdr:colOff>406400</xdr:colOff>
      <xdr:row>138</xdr:row>
      <xdr:rowOff>114300</xdr:rowOff>
    </xdr:to>
    <xdr:graphicFrame macro="">
      <xdr:nvGraphicFramePr>
        <xdr:cNvPr id="13" name="Chart 12">
          <a:extLst>
            <a:ext uri="{FF2B5EF4-FFF2-40B4-BE49-F238E27FC236}">
              <a16:creationId xmlns:a16="http://schemas.microsoft.com/office/drawing/2014/main" id="{86E5BDAD-9BD2-BB38-1594-1661CDEE2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114300</xdr:colOff>
      <xdr:row>12</xdr:row>
      <xdr:rowOff>76200</xdr:rowOff>
    </xdr:from>
    <xdr:to>
      <xdr:col>40</xdr:col>
      <xdr:colOff>508000</xdr:colOff>
      <xdr:row>24</xdr:row>
      <xdr:rowOff>127000</xdr:rowOff>
    </xdr:to>
    <xdr:pic>
      <xdr:nvPicPr>
        <xdr:cNvPr id="14" name="Picture 13">
          <a:extLst>
            <a:ext uri="{FF2B5EF4-FFF2-40B4-BE49-F238E27FC236}">
              <a16:creationId xmlns:a16="http://schemas.microsoft.com/office/drawing/2014/main" id="{0C4E5C52-135E-2E3C-655C-7B55310AB0A6}"/>
            </a:ext>
          </a:extLst>
        </xdr:cNvPr>
        <xdr:cNvPicPr>
          <a:picLocks noChangeAspect="1"/>
        </xdr:cNvPicPr>
      </xdr:nvPicPr>
      <xdr:blipFill>
        <a:blip xmlns:r="http://schemas.openxmlformats.org/officeDocument/2006/relationships" r:embed="rId5"/>
        <a:stretch>
          <a:fillRect/>
        </a:stretch>
      </xdr:blipFill>
      <xdr:spPr>
        <a:xfrm>
          <a:off x="20739100" y="2540000"/>
          <a:ext cx="13601700" cy="2489200"/>
        </a:xfrm>
        <a:prstGeom prst="rect">
          <a:avLst/>
        </a:prstGeom>
      </xdr:spPr>
    </xdr:pic>
    <xdr:clientData/>
  </xdr:twoCellAnchor>
  <xdr:twoCellAnchor editAs="oneCell">
    <xdr:from>
      <xdr:col>23</xdr:col>
      <xdr:colOff>381000</xdr:colOff>
      <xdr:row>25</xdr:row>
      <xdr:rowOff>139700</xdr:rowOff>
    </xdr:from>
    <xdr:to>
      <xdr:col>42</xdr:col>
      <xdr:colOff>50800</xdr:colOff>
      <xdr:row>37</xdr:row>
      <xdr:rowOff>127000</xdr:rowOff>
    </xdr:to>
    <xdr:pic>
      <xdr:nvPicPr>
        <xdr:cNvPr id="17" name="Picture 16">
          <a:extLst>
            <a:ext uri="{FF2B5EF4-FFF2-40B4-BE49-F238E27FC236}">
              <a16:creationId xmlns:a16="http://schemas.microsoft.com/office/drawing/2014/main" id="{2DA63943-D20B-908E-FB1D-56BE6E8E78AA}"/>
            </a:ext>
          </a:extLst>
        </xdr:cNvPr>
        <xdr:cNvPicPr>
          <a:picLocks noChangeAspect="1"/>
        </xdr:cNvPicPr>
      </xdr:nvPicPr>
      <xdr:blipFill>
        <a:blip xmlns:r="http://schemas.openxmlformats.org/officeDocument/2006/relationships" r:embed="rId6"/>
        <a:stretch>
          <a:fillRect/>
        </a:stretch>
      </xdr:blipFill>
      <xdr:spPr>
        <a:xfrm>
          <a:off x="20180300" y="5245100"/>
          <a:ext cx="15354300" cy="2425700"/>
        </a:xfrm>
        <a:prstGeom prst="rect">
          <a:avLst/>
        </a:prstGeom>
      </xdr:spPr>
    </xdr:pic>
    <xdr:clientData/>
  </xdr:twoCellAnchor>
  <xdr:twoCellAnchor editAs="oneCell">
    <xdr:from>
      <xdr:col>41</xdr:col>
      <xdr:colOff>127000</xdr:colOff>
      <xdr:row>11</xdr:row>
      <xdr:rowOff>25399</xdr:rowOff>
    </xdr:from>
    <xdr:to>
      <xdr:col>57</xdr:col>
      <xdr:colOff>381000</xdr:colOff>
      <xdr:row>23</xdr:row>
      <xdr:rowOff>127000</xdr:rowOff>
    </xdr:to>
    <xdr:pic>
      <xdr:nvPicPr>
        <xdr:cNvPr id="19" name="Picture 18">
          <a:extLst>
            <a:ext uri="{FF2B5EF4-FFF2-40B4-BE49-F238E27FC236}">
              <a16:creationId xmlns:a16="http://schemas.microsoft.com/office/drawing/2014/main" id="{918731F5-E1A5-C350-31E2-7DF20679EB1F}"/>
            </a:ext>
          </a:extLst>
        </xdr:cNvPr>
        <xdr:cNvPicPr>
          <a:picLocks noChangeAspect="1"/>
        </xdr:cNvPicPr>
      </xdr:nvPicPr>
      <xdr:blipFill>
        <a:blip xmlns:r="http://schemas.openxmlformats.org/officeDocument/2006/relationships" r:embed="rId7"/>
        <a:stretch>
          <a:fillRect/>
        </a:stretch>
      </xdr:blipFill>
      <xdr:spPr>
        <a:xfrm>
          <a:off x="34785300" y="2285999"/>
          <a:ext cx="13462000" cy="2540001"/>
        </a:xfrm>
        <a:prstGeom prst="rect">
          <a:avLst/>
        </a:prstGeom>
      </xdr:spPr>
    </xdr:pic>
    <xdr:clientData/>
  </xdr:twoCellAnchor>
  <xdr:twoCellAnchor editAs="oneCell">
    <xdr:from>
      <xdr:col>40</xdr:col>
      <xdr:colOff>774700</xdr:colOff>
      <xdr:row>25</xdr:row>
      <xdr:rowOff>190500</xdr:rowOff>
    </xdr:from>
    <xdr:to>
      <xdr:col>57</xdr:col>
      <xdr:colOff>247782</xdr:colOff>
      <xdr:row>37</xdr:row>
      <xdr:rowOff>25400</xdr:rowOff>
    </xdr:to>
    <xdr:pic>
      <xdr:nvPicPr>
        <xdr:cNvPr id="21" name="Picture 20">
          <a:extLst>
            <a:ext uri="{FF2B5EF4-FFF2-40B4-BE49-F238E27FC236}">
              <a16:creationId xmlns:a16="http://schemas.microsoft.com/office/drawing/2014/main" id="{5343F196-6612-083E-EBD8-F596AFDFE958}"/>
            </a:ext>
          </a:extLst>
        </xdr:cNvPr>
        <xdr:cNvPicPr>
          <a:picLocks noChangeAspect="1"/>
        </xdr:cNvPicPr>
      </xdr:nvPicPr>
      <xdr:blipFill>
        <a:blip xmlns:r="http://schemas.openxmlformats.org/officeDocument/2006/relationships" r:embed="rId8"/>
        <a:stretch>
          <a:fillRect/>
        </a:stretch>
      </xdr:blipFill>
      <xdr:spPr>
        <a:xfrm>
          <a:off x="34607500" y="5295900"/>
          <a:ext cx="13506582" cy="2273300"/>
        </a:xfrm>
        <a:prstGeom prst="rect">
          <a:avLst/>
        </a:prstGeom>
      </xdr:spPr>
    </xdr:pic>
    <xdr:clientData/>
  </xdr:twoCellAnchor>
  <xdr:twoCellAnchor editAs="oneCell">
    <xdr:from>
      <xdr:col>56</xdr:col>
      <xdr:colOff>398780</xdr:colOff>
      <xdr:row>10</xdr:row>
      <xdr:rowOff>190500</xdr:rowOff>
    </xdr:from>
    <xdr:to>
      <xdr:col>76</xdr:col>
      <xdr:colOff>54322</xdr:colOff>
      <xdr:row>21</xdr:row>
      <xdr:rowOff>99060</xdr:rowOff>
    </xdr:to>
    <xdr:pic>
      <xdr:nvPicPr>
        <xdr:cNvPr id="23" name="Picture 22">
          <a:extLst>
            <a:ext uri="{FF2B5EF4-FFF2-40B4-BE49-F238E27FC236}">
              <a16:creationId xmlns:a16="http://schemas.microsoft.com/office/drawing/2014/main" id="{042E91FE-ED03-EEA5-3F59-B5DE641EB6FA}"/>
            </a:ext>
          </a:extLst>
        </xdr:cNvPr>
        <xdr:cNvPicPr>
          <a:picLocks noChangeAspect="1"/>
        </xdr:cNvPicPr>
      </xdr:nvPicPr>
      <xdr:blipFill>
        <a:blip xmlns:r="http://schemas.openxmlformats.org/officeDocument/2006/relationships" r:embed="rId9"/>
        <a:stretch>
          <a:fillRect/>
        </a:stretch>
      </xdr:blipFill>
      <xdr:spPr>
        <a:xfrm>
          <a:off x="47439580" y="2247900"/>
          <a:ext cx="16165542" cy="2143760"/>
        </a:xfrm>
        <a:prstGeom prst="rect">
          <a:avLst/>
        </a:prstGeom>
      </xdr:spPr>
    </xdr:pic>
    <xdr:clientData/>
  </xdr:twoCellAnchor>
  <xdr:twoCellAnchor editAs="oneCell">
    <xdr:from>
      <xdr:col>56</xdr:col>
      <xdr:colOff>548550</xdr:colOff>
      <xdr:row>25</xdr:row>
      <xdr:rowOff>152848</xdr:rowOff>
    </xdr:from>
    <xdr:to>
      <xdr:col>76</xdr:col>
      <xdr:colOff>391235</xdr:colOff>
      <xdr:row>35</xdr:row>
      <xdr:rowOff>157795</xdr:rowOff>
    </xdr:to>
    <xdr:pic>
      <xdr:nvPicPr>
        <xdr:cNvPr id="24" name="Picture 23">
          <a:extLst>
            <a:ext uri="{FF2B5EF4-FFF2-40B4-BE49-F238E27FC236}">
              <a16:creationId xmlns:a16="http://schemas.microsoft.com/office/drawing/2014/main" id="{A0B5D46B-4B56-ABA0-AC03-6ECAC1A34C1F}"/>
            </a:ext>
          </a:extLst>
        </xdr:cNvPr>
        <xdr:cNvPicPr>
          <a:picLocks noChangeAspect="1"/>
        </xdr:cNvPicPr>
      </xdr:nvPicPr>
      <xdr:blipFill>
        <a:blip xmlns:r="http://schemas.openxmlformats.org/officeDocument/2006/relationships" r:embed="rId10"/>
        <a:stretch>
          <a:fillRect/>
        </a:stretch>
      </xdr:blipFill>
      <xdr:spPr>
        <a:xfrm>
          <a:off x="47589350" y="5258248"/>
          <a:ext cx="16352685" cy="2036947"/>
        </a:xfrm>
        <a:prstGeom prst="rect">
          <a:avLst/>
        </a:prstGeom>
      </xdr:spPr>
    </xdr:pic>
    <xdr:clientData/>
  </xdr:twoCellAnchor>
  <xdr:twoCellAnchor editAs="oneCell">
    <xdr:from>
      <xdr:col>74</xdr:col>
      <xdr:colOff>706434</xdr:colOff>
      <xdr:row>7</xdr:row>
      <xdr:rowOff>32638</xdr:rowOff>
    </xdr:from>
    <xdr:to>
      <xdr:col>95</xdr:col>
      <xdr:colOff>478266</xdr:colOff>
      <xdr:row>17</xdr:row>
      <xdr:rowOff>191062</xdr:rowOff>
    </xdr:to>
    <xdr:pic>
      <xdr:nvPicPr>
        <xdr:cNvPr id="25" name="Picture 24">
          <a:extLst>
            <a:ext uri="{FF2B5EF4-FFF2-40B4-BE49-F238E27FC236}">
              <a16:creationId xmlns:a16="http://schemas.microsoft.com/office/drawing/2014/main" id="{BD8D6E2F-F9F5-49CE-1A7C-68E548803902}"/>
            </a:ext>
          </a:extLst>
        </xdr:cNvPr>
        <xdr:cNvPicPr>
          <a:picLocks noChangeAspect="1"/>
        </xdr:cNvPicPr>
      </xdr:nvPicPr>
      <xdr:blipFill>
        <a:blip xmlns:r="http://schemas.openxmlformats.org/officeDocument/2006/relationships" r:embed="rId11"/>
        <a:stretch>
          <a:fillRect/>
        </a:stretch>
      </xdr:blipFill>
      <xdr:spPr>
        <a:xfrm>
          <a:off x="62239620" y="1471222"/>
          <a:ext cx="17001124" cy="2181433"/>
        </a:xfrm>
        <a:prstGeom prst="rect">
          <a:avLst/>
        </a:prstGeom>
      </xdr:spPr>
    </xdr:pic>
    <xdr:clientData/>
  </xdr:twoCellAnchor>
  <xdr:twoCellAnchor>
    <xdr:from>
      <xdr:col>1</xdr:col>
      <xdr:colOff>177800</xdr:colOff>
      <xdr:row>50</xdr:row>
      <xdr:rowOff>0</xdr:rowOff>
    </xdr:from>
    <xdr:to>
      <xdr:col>13</xdr:col>
      <xdr:colOff>622300</xdr:colOff>
      <xdr:row>70</xdr:row>
      <xdr:rowOff>38100</xdr:rowOff>
    </xdr:to>
    <xdr:sp macro="" textlink="">
      <xdr:nvSpPr>
        <xdr:cNvPr id="27" name="TextBox 26">
          <a:extLst>
            <a:ext uri="{FF2B5EF4-FFF2-40B4-BE49-F238E27FC236}">
              <a16:creationId xmlns:a16="http://schemas.microsoft.com/office/drawing/2014/main" id="{64B0A92A-189C-2120-C34F-4CC3336540DF}"/>
            </a:ext>
          </a:extLst>
        </xdr:cNvPr>
        <xdr:cNvSpPr txBox="1"/>
      </xdr:nvSpPr>
      <xdr:spPr>
        <a:xfrm>
          <a:off x="1003300" y="10198100"/>
          <a:ext cx="11163300" cy="410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Gross Margin increases until 2017 and started declining until 2020. There was a slight increase in 2021 before dropping again in 2022. Since then its been on a rise. There hasn't been too much flunctuation.  </a:t>
          </a:r>
        </a:p>
        <a:p>
          <a:r>
            <a:rPr lang="en-CA" sz="1200" b="0" i="1">
              <a:solidFill>
                <a:schemeClr val="dk1"/>
              </a:solidFill>
              <a:effectLst/>
              <a:latin typeface="+mn-lt"/>
              <a:ea typeface="+mn-ea"/>
              <a:cs typeface="+mn-cs"/>
            </a:rPr>
            <a:t>Between 2014 and 2017, gross margin expanded from 60.7% to 62.6%, driven primarily by structural refranchising of low‑margin bottling operations (particularly Brazilian bottling in 2013–2014 and further divestitures through 2017), which reduced finished product revenue but improved the concentrate/finished‑goods mix. This was partially offset by unfavorable FX (2015–2016) and higher commodity costs in certain markets, though positive price/mix and lower commodity costs in North America (2014–2016) provided offsets.</a:t>
          </a:r>
          <a:endParaRPr lang="en-US" sz="1200"/>
        </a:p>
        <a:p>
          <a:endParaRPr lang="en-US" sz="1200"/>
        </a:p>
        <a:p>
          <a:r>
            <a:rPr lang="en-CA" sz="1200" b="0" i="1">
              <a:solidFill>
                <a:schemeClr val="dk1"/>
              </a:solidFill>
              <a:effectLst/>
              <a:latin typeface="+mn-lt"/>
              <a:ea typeface="+mn-ea"/>
              <a:cs typeface="+mn-cs"/>
            </a:rPr>
            <a:t>Gross margin compressed from 62.6% in 2017 to 60.8% in 2019, primarily due to the consolidation of CCBA (a lower‑margin finished‑goods business) in 2018 and structural changes including Costa and other acquisitions that shifted the portfolio toward lower‑margin finished products. Unfavorable FX and the impact of new revenue recognition accounting standards in 2018 also pressured margins, partially offset by positive price/mix and modest commodity relief.</a:t>
          </a:r>
        </a:p>
        <a:p>
          <a:endParaRPr lang="en-CA" sz="1200" b="0" i="1">
            <a:solidFill>
              <a:schemeClr val="dk1"/>
            </a:solidFill>
            <a:effectLst/>
            <a:latin typeface="+mn-lt"/>
            <a:ea typeface="+mn-ea"/>
            <a:cs typeface="+mn-cs"/>
          </a:endParaRPr>
        </a:p>
        <a:p>
          <a:r>
            <a:rPr lang="en-CA" sz="1200" b="0" i="1">
              <a:solidFill>
                <a:schemeClr val="dk1"/>
              </a:solidFill>
              <a:effectLst/>
              <a:latin typeface="+mn-lt"/>
              <a:ea typeface="+mn-ea"/>
              <a:cs typeface="+mn-cs"/>
            </a:rPr>
            <a:t>Gross margin fell sharply to 59.3% in 2020, driven by unfavorable channel and package mix (away‑from‑home collapsed, at‑home multi‑packs grew), unfavorable manufacturing overhead variances due to lower volumes, and adverse FX, partially offset by acquisitions/divestitures. In 2021, margin recovered to 60.3% as favorable pricing initiatives and improved channel/package mix from away‑from‑home reopening more than offset rising commodity and transportation costs.</a:t>
          </a:r>
        </a:p>
        <a:p>
          <a:endParaRPr lang="en-CA" sz="1200" b="0" i="1">
            <a:solidFill>
              <a:schemeClr val="dk1"/>
            </a:solidFill>
            <a:effectLst/>
            <a:latin typeface="+mn-lt"/>
            <a:ea typeface="+mn-ea"/>
            <a:cs typeface="+mn-cs"/>
          </a:endParaRPr>
        </a:p>
        <a:p>
          <a:r>
            <a:rPr lang="en-CA" sz="1200" b="0" i="1">
              <a:solidFill>
                <a:schemeClr val="dk1"/>
              </a:solidFill>
              <a:effectLst/>
              <a:latin typeface="+mn-lt"/>
              <a:ea typeface="+mn-ea"/>
              <a:cs typeface="+mn-cs"/>
            </a:rPr>
            <a:t>Gross margin compressed to 58.1% in 2022, driven by surging commodity and transportation costs (sugar, aluminum, PET, logistics) and adverse FX, with the BodyArmor acquisition (a lower‑margin finished‑goods business) adding further pressure, only partially offset by favorable pricing and channel/package mix. Management noted expectations for continued cost pressures into 2023.</a:t>
          </a:r>
        </a:p>
        <a:p>
          <a:r>
            <a:rPr lang="en-CA" sz="1200" b="0" i="1">
              <a:solidFill>
                <a:schemeClr val="dk1"/>
              </a:solidFill>
              <a:effectLst/>
              <a:latin typeface="+mn-lt"/>
              <a:ea typeface="+mn-ea"/>
              <a:cs typeface="+mn-cs"/>
            </a:rPr>
            <a:t>In 2023, margin recovered to 59.5% as broad‑based pricing actions, favorable channel/package mix, and structural changes (ongoing portfolio optimization) more than offset persistent commodity and FX headwinds.</a:t>
          </a:r>
        </a:p>
        <a:p>
          <a:r>
            <a:rPr lang="en-CA" sz="1200" b="0" i="1">
              <a:solidFill>
                <a:schemeClr val="dk1"/>
              </a:solidFill>
              <a:effectLst/>
              <a:latin typeface="+mn-lt"/>
              <a:ea typeface="+mn-ea"/>
              <a:cs typeface="+mn-cs"/>
            </a:rPr>
            <a:t>By 2024, gross margin reached 61.1%, the highest since 2017, driven by continued pricing discipline, refranchising of bottling operations in the Philippines/Bangladesh/India, and easing commodity pressures, partially offset by FX and residual input cost inflation.</a:t>
          </a:r>
        </a:p>
        <a:p>
          <a:endParaRPr lang="en-CA" sz="1100" b="0" i="1">
            <a:solidFill>
              <a:schemeClr val="dk1"/>
            </a:solidFill>
            <a:effectLst/>
            <a:latin typeface="+mn-lt"/>
            <a:ea typeface="+mn-ea"/>
            <a:cs typeface="+mn-cs"/>
          </a:endParaRPr>
        </a:p>
        <a:p>
          <a:br>
            <a:rPr lang="en-CA"/>
          </a:br>
          <a:endParaRPr lang="en-US" sz="1100"/>
        </a:p>
      </xdr:txBody>
    </xdr:sp>
    <xdr:clientData/>
  </xdr:twoCellAnchor>
  <xdr:twoCellAnchor>
    <xdr:from>
      <xdr:col>0</xdr:col>
      <xdr:colOff>482600</xdr:colOff>
      <xdr:row>81</xdr:row>
      <xdr:rowOff>12700</xdr:rowOff>
    </xdr:from>
    <xdr:to>
      <xdr:col>11</xdr:col>
      <xdr:colOff>533400</xdr:colOff>
      <xdr:row>104</xdr:row>
      <xdr:rowOff>63500</xdr:rowOff>
    </xdr:to>
    <xdr:sp macro="" textlink="">
      <xdr:nvSpPr>
        <xdr:cNvPr id="2" name="TextBox 1">
          <a:extLst>
            <a:ext uri="{FF2B5EF4-FFF2-40B4-BE49-F238E27FC236}">
              <a16:creationId xmlns:a16="http://schemas.microsoft.com/office/drawing/2014/main" id="{48A2A134-A78A-9CA9-D781-2155A5E7D84B}"/>
            </a:ext>
          </a:extLst>
        </xdr:cNvPr>
        <xdr:cNvSpPr txBox="1"/>
      </xdr:nvSpPr>
      <xdr:spPr>
        <a:xfrm>
          <a:off x="482600" y="16522700"/>
          <a:ext cx="9944100" cy="472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SG&amp;A has been decreasing since 2015 and has been fairly constant since 2021. </a:t>
          </a:r>
          <a:r>
            <a:rPr lang="en-CA" sz="1200" b="0" i="1">
              <a:solidFill>
                <a:schemeClr val="dk1"/>
              </a:solidFill>
              <a:effectLst/>
              <a:latin typeface="+mn-lt"/>
              <a:ea typeface="+mn-ea"/>
              <a:cs typeface="+mn-cs"/>
            </a:rPr>
            <a:t>Between 2013 and 2017, SG&amp;A expenses declined sharply from $17.3B to $12.5B (28% reduction), driven primarily by strategic refranchising of bottling operations, which eliminated selling and distribution expenses associated with company-owned bottling. The 2017 decline (−$2.8B or −18% vs 2016) reflected divestitures reducing selling and distribution costs, with favorable FX providing an additional modest benefit. As a percentage of revenue, SG&amp;A improved substantially during this period, demonstrating structural operating leverage from the asset-light concentrate model.</a:t>
          </a:r>
        </a:p>
        <a:p>
          <a:endParaRPr lang="en-CA" sz="1200" b="0" i="1">
            <a:solidFill>
              <a:schemeClr val="dk1"/>
            </a:solidFill>
            <a:effectLst/>
            <a:latin typeface="+mn-lt"/>
            <a:ea typeface="+mn-ea"/>
            <a:cs typeface="+mn-cs"/>
          </a:endParaRPr>
        </a:p>
        <a:p>
          <a:r>
            <a:rPr lang="en-CA" sz="1200" b="0" i="1">
              <a:solidFill>
                <a:schemeClr val="dk1"/>
              </a:solidFill>
              <a:effectLst/>
              <a:latin typeface="+mn-lt"/>
              <a:ea typeface="+mn-ea"/>
              <a:cs typeface="+mn-cs"/>
            </a:rPr>
            <a:t>In 2018, SG&amp;A fell 19% to $10.3B as refranchising activities throughout 2018 and the full-year effect of 2017 refranchising reduced selling/distribution costs, with productivity initiatives further lowering other operating expenses, despite the CCBA consolidation partially offsetting the decline. In 2019, SG&amp;A rose 10% to $12.1B primarily due to acquisitions (notably Costa), increased advertising to strengthen brands, and higher other operating expenses from productivity initiatives, partially offset by divestitures and a 4% FX headwind.</a:t>
          </a:r>
        </a:p>
        <a:p>
          <a:br>
            <a:rPr lang="en-CA" sz="1200"/>
          </a:br>
          <a:r>
            <a:rPr lang="en-CA" sz="1200" b="0" i="1">
              <a:solidFill>
                <a:schemeClr val="dk1"/>
              </a:solidFill>
              <a:effectLst/>
              <a:latin typeface="+mn-lt"/>
              <a:ea typeface="+mn-ea"/>
              <a:cs typeface="+mn-cs"/>
            </a:rPr>
            <a:t>SG&amp;A fell 20% in 2020 to $9.7B as Coca-Cola implemented aggressive cost management in response to COVID-19, including reduced marketing spend (advertising fell from $4.2B to $2.8B), volume-related declines in selling/distribution costs, lower stock-based compensation expense due to performance criteria not being met, and productivity initiatives, with FX providing a 1% tailwind. In 2021, SG&amp;A surged 25% to $12.1B as the company reinvested in marketing (advertising rose to $4.1B) and increased charitable donations following the 2020 pullback, while higher annual incentive and stock-based compensation reflected improved financial performance and a more favorable outlook, with selling/distribution costs remaining elevated due to continued COVID impact on away-from-home channels and FX adding 2% pressure.</a:t>
          </a:r>
        </a:p>
        <a:p>
          <a:endParaRPr lang="en-CA" sz="1200"/>
        </a:p>
        <a:p>
          <a:r>
            <a:rPr lang="en-CA" sz="1200" b="0" i="1">
              <a:solidFill>
                <a:schemeClr val="dk1"/>
              </a:solidFill>
              <a:effectLst/>
              <a:latin typeface="+mn-lt"/>
              <a:ea typeface="+mn-ea"/>
              <a:cs typeface="+mn-cs"/>
            </a:rPr>
            <a:t>In 2022, SG&amp;A increased 6% to $12.9B, driven by increased marketing spending as the company leaned into the post-COVID recovery, higher selling/distribution expenses from resumed mobility, and elevated annual incentive and stock-based compensation reflecting strong 2022 performance, with FX providing a 6% tailwind. In 2023, SG&amp;A rose 8% to $14.0B due to higher advertising and other operating expenses (marketing, IT, wage inflation), increased charitable donations, and higher annual incentive and stock-based comp, partially offset by refranchising-driven reductions in selling/distribution costs (Vietnam, Cambodia) and FX tailwinds. In 2024, SG&amp;A grew 4% to $14.6B, with higher advertising, stock-based comp, and other operating expenses (including asset impairment and higher employee costs), partially offset by selling/distribution cost reductions from refranchising in the Philippines, Bangladesh, and India, with FX reducing SG&amp;A by 4%.</a:t>
          </a:r>
          <a:br>
            <a:rPr lang="en-CA"/>
          </a:br>
          <a:endParaRPr lang="en-US" sz="1100"/>
        </a:p>
      </xdr:txBody>
    </xdr:sp>
    <xdr:clientData/>
  </xdr:twoCellAnchor>
  <xdr:twoCellAnchor>
    <xdr:from>
      <xdr:col>24</xdr:col>
      <xdr:colOff>31750</xdr:colOff>
      <xdr:row>79</xdr:row>
      <xdr:rowOff>152400</xdr:rowOff>
    </xdr:from>
    <xdr:to>
      <xdr:col>31</xdr:col>
      <xdr:colOff>787400</xdr:colOff>
      <xdr:row>100</xdr:row>
      <xdr:rowOff>101600</xdr:rowOff>
    </xdr:to>
    <xdr:graphicFrame macro="">
      <xdr:nvGraphicFramePr>
        <xdr:cNvPr id="3" name="Chart 2">
          <a:extLst>
            <a:ext uri="{FF2B5EF4-FFF2-40B4-BE49-F238E27FC236}">
              <a16:creationId xmlns:a16="http://schemas.microsoft.com/office/drawing/2014/main" id="{1993E74A-1696-0A84-59EC-E332DF467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190500</xdr:colOff>
      <xdr:row>81</xdr:row>
      <xdr:rowOff>88900</xdr:rowOff>
    </xdr:from>
    <xdr:to>
      <xdr:col>16</xdr:col>
      <xdr:colOff>406400</xdr:colOff>
      <xdr:row>100</xdr:row>
      <xdr:rowOff>0</xdr:rowOff>
    </xdr:to>
    <xdr:sp macro="" textlink="">
      <xdr:nvSpPr>
        <xdr:cNvPr id="5" name="TextBox 4">
          <a:extLst>
            <a:ext uri="{FF2B5EF4-FFF2-40B4-BE49-F238E27FC236}">
              <a16:creationId xmlns:a16="http://schemas.microsoft.com/office/drawing/2014/main" id="{2C522D1F-724D-F43B-ADDE-C8BCDA31D21C}"/>
            </a:ext>
          </a:extLst>
        </xdr:cNvPr>
        <xdr:cNvSpPr txBox="1"/>
      </xdr:nvSpPr>
      <xdr:spPr>
        <a:xfrm>
          <a:off x="10909300" y="16598900"/>
          <a:ext cx="3517900" cy="3771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200" b="0" i="1">
              <a:solidFill>
                <a:schemeClr val="dk1"/>
              </a:solidFill>
              <a:effectLst/>
              <a:latin typeface="+mn-lt"/>
              <a:ea typeface="+mn-ea"/>
              <a:cs typeface="+mn-cs"/>
            </a:rPr>
            <a:t>SG&amp;A evolution reflects a balance between structural efficiency and strategic reinvestment. The dramatic decline from 2013–2018 (from $17.3B to $10.3B) was structurally driven by refranchising, demonstrating the operating leverage of Coca-Cola's asset-light model. The 2019 increase and 2021 surge reflect deliberate strategic choices (Costa acquisition, post-COVID marketing reinvestment) rather than loss of cost discipline, evidenced by the 2020 response where SG&amp;A fell 20% amid uncertainty. From 2022–2024, modest SG&amp;A growth (+12% cumulative) against strong revenue growth (+20% cumulative from pricing/mix) shows continued discipline, with refranchising providing structural offsets to wage and marketing inflation. As a percentage of revenue, SG&amp;A has likely remained stable or improved in 2022–2024, confirming that Coca-Cola can invest behind growth while maintaining or improving operating leverage.</a:t>
          </a:r>
          <a:endParaRPr lang="en-US" sz="1200"/>
        </a:p>
      </xdr:txBody>
    </xdr:sp>
    <xdr:clientData/>
  </xdr:twoCellAnchor>
  <xdr:twoCellAnchor>
    <xdr:from>
      <xdr:col>1</xdr:col>
      <xdr:colOff>0</xdr:colOff>
      <xdr:row>114</xdr:row>
      <xdr:rowOff>152400</xdr:rowOff>
    </xdr:from>
    <xdr:to>
      <xdr:col>11</xdr:col>
      <xdr:colOff>342900</xdr:colOff>
      <xdr:row>142</xdr:row>
      <xdr:rowOff>25400</xdr:rowOff>
    </xdr:to>
    <xdr:sp macro="" textlink="">
      <xdr:nvSpPr>
        <xdr:cNvPr id="6" name="TextBox 5">
          <a:extLst>
            <a:ext uri="{FF2B5EF4-FFF2-40B4-BE49-F238E27FC236}">
              <a16:creationId xmlns:a16="http://schemas.microsoft.com/office/drawing/2014/main" id="{F06046A3-1B41-12FD-8D8B-37A4248D6680}"/>
            </a:ext>
          </a:extLst>
        </xdr:cNvPr>
        <xdr:cNvSpPr txBox="1"/>
      </xdr:nvSpPr>
      <xdr:spPr>
        <a:xfrm>
          <a:off x="825500" y="23380700"/>
          <a:ext cx="9410700" cy="556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The EBIT margin grew steadily until 2020 and has been declining since. A sharp decline can be seen in 2024. </a:t>
          </a:r>
        </a:p>
        <a:p>
          <a:endParaRPr lang="en-US" sz="1200" b="0" i="1">
            <a:solidFill>
              <a:schemeClr val="dk1"/>
            </a:solidFill>
            <a:effectLst/>
            <a:latin typeface="+mn-lt"/>
            <a:ea typeface="+mn-ea"/>
            <a:cs typeface="+mn-cs"/>
          </a:endParaRPr>
        </a:p>
        <a:p>
          <a:r>
            <a:rPr lang="en-CA" sz="1200" b="0" i="1">
              <a:solidFill>
                <a:schemeClr val="dk1"/>
              </a:solidFill>
              <a:effectLst/>
              <a:latin typeface="+mn-lt"/>
              <a:ea typeface="+mn-ea"/>
              <a:cs typeface="+mn-cs"/>
            </a:rPr>
            <a:t>Operating margin declined from 21.1% in 2014 to 19.7% in 2015, driven by unfavorable FX (−12% impact on operating income) and refranchising/divestiture charges (Monster Transaction, North America refranchising), which more than offset a modest decline in SG&amp;A and stable gross margin. In 2016, margin recovered to 20.6% as gross margin improved (price/mix, lower commodity costs) and SG&amp;A leverage continued (refranchising-driven cost reductions), though FX remained a headwind (−8%). By 2017, operating margin reached 21.2%, reflecting further refranchising benefits (structural SG&amp;A reduction of $2.8B) and gross margin expansion to 62.6%, with FX headwinds moderating (−3%).</a:t>
          </a:r>
        </a:p>
        <a:p>
          <a:endParaRPr lang="en-CA" sz="1200" b="0" i="1">
            <a:solidFill>
              <a:schemeClr val="dk1"/>
            </a:solidFill>
            <a:effectLst/>
            <a:latin typeface="+mn-lt"/>
            <a:ea typeface="+mn-ea"/>
            <a:cs typeface="+mn-cs"/>
          </a:endParaRPr>
        </a:p>
        <a:p>
          <a:r>
            <a:rPr lang="en-CA" sz="1200" b="0" i="1">
              <a:solidFill>
                <a:schemeClr val="dk1"/>
              </a:solidFill>
              <a:effectLst/>
              <a:latin typeface="+mn-lt"/>
              <a:ea typeface="+mn-ea"/>
              <a:cs typeface="+mn-cs"/>
            </a:rPr>
            <a:t>Operating margin surged from 21.2% in 2017 to 27.3% in 2018, reflecting the full-year benefit of 2017–2018 refranchising (SG&amp;A fell 19% to $10.3B), which more than offset gross margin compression (62.6% → 61.9% due to CCBA consolidation and new revenue recognition standards) and FX headwinds (−6%). In 2019, margin held steady at 27.1% despite further gross margin decline (61.9% → 60.8% from Costa acquisition and structural changes), as modest volume and price/mix growth, lower other operating charges, and productivity savings offset the mix pressure, with FX a significant headwind (−9%).</a:t>
          </a:r>
        </a:p>
        <a:p>
          <a:endParaRPr lang="en-CA" sz="1200" b="0" i="1">
            <a:solidFill>
              <a:schemeClr val="dk1"/>
            </a:solidFill>
            <a:effectLst/>
            <a:latin typeface="+mn-lt"/>
            <a:ea typeface="+mn-ea"/>
            <a:cs typeface="+mn-cs"/>
          </a:endParaRPr>
        </a:p>
        <a:p>
          <a:r>
            <a:rPr lang="en-CA" sz="1200" b="0" i="1">
              <a:solidFill>
                <a:schemeClr val="dk1"/>
              </a:solidFill>
              <a:effectLst/>
              <a:latin typeface="+mn-lt"/>
              <a:ea typeface="+mn-ea"/>
              <a:cs typeface="+mn-cs"/>
            </a:rPr>
            <a:t>Operating margin was remarkably resilient in 2020, edging up to 27.3% despite an 11% revenue decline, as aggressive SG&amp;A cost management (down 20% to $9.7B from reduced marketing and lower variable costs) and effective cost management more than offset gross margin compression (60.8% → 59.3% from unfavorable channel/package mix and manufacturing overhead variances), with FX providing a modest tailwind (+6%). In 2021, margin declined slightly to 26.7% as the company reinvested in marketing (SG&amp;A up 25%) and absorbed higher incentive compensation, while gross margin recovered (59.3% → 60.3% from pricing and improved mix), with volume growth and pricing driving operating income up 15% despite the cost reinvestment.</a:t>
          </a:r>
        </a:p>
        <a:p>
          <a:endParaRPr lang="en-CA" sz="1200" b="0" i="1">
            <a:solidFill>
              <a:schemeClr val="dk1"/>
            </a:solidFill>
            <a:effectLst/>
            <a:latin typeface="+mn-lt"/>
            <a:ea typeface="+mn-ea"/>
            <a:cs typeface="+mn-cs"/>
          </a:endParaRPr>
        </a:p>
        <a:p>
          <a:r>
            <a:rPr lang="en-CA" sz="1200" b="0" i="1">
              <a:solidFill>
                <a:schemeClr val="dk1"/>
              </a:solidFill>
              <a:effectLst/>
              <a:latin typeface="+mn-lt"/>
              <a:ea typeface="+mn-ea"/>
              <a:cs typeface="+mn-cs"/>
            </a:rPr>
            <a:t>Operating margin compressed from 26.7% in 2021 to 25.4% in 2022, as gross margin fell sharply (60.3% → 58.1% from surging commodity and transportation costs and the BodyArmor acquisition) and SG&amp;A rose (+6% to $12.9B from increased marketing and higher compensation), despite strong pricing and favorable channel/package mix and FX tailwinds (−9% impact on operating income but +6% benefit on SG&amp;A). In 2023, margin declined further to 24.7% as commodity costs remained elevated (gross margin 58.1% → 59.5%, partial recovery) and SG&amp;A continued to grow (+8% to $14.0B from marketing and wage inflation), though pricing power (10% price/mix) limited the compression. By 2024, operating margin fell to 21.2% (back to 2017 levels), driven by higher commodity costs, elevated SG&amp;A (up 4% to $14.6B), and higher other operating charges (asset impairments, refranchising costs), despite gross margin recovery (59.5% → 61.1% from continued pricing and refranchising in the Philippines/Bangladesh/India) and favorable FX (−11% on operating income).</a:t>
          </a:r>
          <a:endParaRPr lang="en-US" sz="1200"/>
        </a:p>
      </xdr:txBody>
    </xdr:sp>
    <xdr:clientData/>
  </xdr:twoCellAnchor>
  <xdr:twoCellAnchor>
    <xdr:from>
      <xdr:col>12</xdr:col>
      <xdr:colOff>152400</xdr:colOff>
      <xdr:row>115</xdr:row>
      <xdr:rowOff>88900</xdr:rowOff>
    </xdr:from>
    <xdr:to>
      <xdr:col>16</xdr:col>
      <xdr:colOff>673100</xdr:colOff>
      <xdr:row>141</xdr:row>
      <xdr:rowOff>25400</xdr:rowOff>
    </xdr:to>
    <xdr:sp macro="" textlink="">
      <xdr:nvSpPr>
        <xdr:cNvPr id="7" name="TextBox 6">
          <a:extLst>
            <a:ext uri="{FF2B5EF4-FFF2-40B4-BE49-F238E27FC236}">
              <a16:creationId xmlns:a16="http://schemas.microsoft.com/office/drawing/2014/main" id="{FCBA5639-1C20-DD8E-A84C-AD7AC02C5ED4}"/>
            </a:ext>
          </a:extLst>
        </xdr:cNvPr>
        <xdr:cNvSpPr txBox="1"/>
      </xdr:nvSpPr>
      <xdr:spPr>
        <a:xfrm>
          <a:off x="10871200" y="23520400"/>
          <a:ext cx="3822700" cy="521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200" b="0" i="1">
              <a:solidFill>
                <a:schemeClr val="dk1"/>
              </a:solidFill>
              <a:effectLst/>
              <a:latin typeface="+mn-lt"/>
              <a:ea typeface="+mn-ea"/>
              <a:cs typeface="+mn-cs"/>
            </a:rPr>
            <a:t>Operating margin evolution reflects Coca-Cola's business model transformation and ability to navigate cyclical pressures. The 2018 step-change to ~27% operating margin was structurally driven by refranchising, demonstrating the profitability of the asset-light concentrate model. The resilience in 2020 (maintaining 27.3% despite −11% revenue) showed exceptional cost discipline under crisis. The 2022–2024 compression back to 21.2% reflects a combination of unprecedented commodity inflation (gross margin fell to 58.1% in 2022 before recovering to 61.1% in 2024), strategic reinvestment in marketing and talent (SG&amp;A grew modestly but remained disciplined as % of revenue), and one-time charges related to refranchising and asset optimization. Importantly, pricing power remained intact (price/mix averaged 10–11% in 2022–2024), and gross margin by 2024 exceeded pre-COVID levels, suggesting the operating margin compression was driven more by deliberate strategic investments and transactional costs than by structural deterioration. The company's ability to expand gross margin while absorbing inflation demonstrates durable competitive advantages in pricing and portfolio management.</a:t>
          </a:r>
          <a:endParaRPr lang="en-US" sz="1200"/>
        </a:p>
      </xdr:txBody>
    </xdr:sp>
    <xdr:clientData/>
  </xdr:twoCellAnchor>
  <xdr:twoCellAnchor>
    <xdr:from>
      <xdr:col>0</xdr:col>
      <xdr:colOff>812800</xdr:colOff>
      <xdr:row>16</xdr:row>
      <xdr:rowOff>114300</xdr:rowOff>
    </xdr:from>
    <xdr:to>
      <xdr:col>12</xdr:col>
      <xdr:colOff>292100</xdr:colOff>
      <xdr:row>37</xdr:row>
      <xdr:rowOff>127000</xdr:rowOff>
    </xdr:to>
    <xdr:sp macro="" textlink="">
      <xdr:nvSpPr>
        <xdr:cNvPr id="8" name="TextBox 7">
          <a:extLst>
            <a:ext uri="{FF2B5EF4-FFF2-40B4-BE49-F238E27FC236}">
              <a16:creationId xmlns:a16="http://schemas.microsoft.com/office/drawing/2014/main" id="{3F646859-3DC4-7345-8803-86CA185EA03A}"/>
            </a:ext>
          </a:extLst>
        </xdr:cNvPr>
        <xdr:cNvSpPr txBox="1"/>
      </xdr:nvSpPr>
      <xdr:spPr>
        <a:xfrm>
          <a:off x="812800" y="3390900"/>
          <a:ext cx="10198100" cy="427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Revenue decreased in 2017 and was on a rise until 2020. Revenue dropped during covid and increases heavily for the next two years and has been declining since. In 2017, Coca‑Cola’s net operating revenues declined 15% despite flat underlying volume, as a 3% benefit from price, product and geographic mix was more than offset by a 17% negative impact from structural bottling divestitures (primarily refranchising within Bottling Investments) and a 1% headwind from currency. Because the divested bottling activities were structurally lower‑margin, the refranchising mix shift depressed reported revenue but supported consolidated gross and operating margin expansion.</a:t>
          </a:r>
        </a:p>
        <a:p>
          <a:pPr marL="0" marR="0" lvl="0" indent="0" defTabSz="914400" eaLnBrk="1" fontAlgn="auto" latinLnBrk="0" hangingPunct="1">
            <a:lnSpc>
              <a:spcPct val="100000"/>
            </a:lnSpc>
            <a:spcBef>
              <a:spcPts val="0"/>
            </a:spcBef>
            <a:spcAft>
              <a:spcPts val="0"/>
            </a:spcAft>
            <a:buClrTx/>
            <a:buSzTx/>
            <a:buFontTx/>
            <a:buNone/>
            <a:tabLst/>
            <a:defRPr/>
          </a:pPr>
          <a:r>
            <a:rPr lang="en-CA" sz="1200" b="0" i="1">
              <a:solidFill>
                <a:schemeClr val="dk1"/>
              </a:solidFill>
              <a:effectLst/>
              <a:latin typeface="+mn-lt"/>
              <a:ea typeface="+mn-ea"/>
              <a:cs typeface="+mn-cs"/>
            </a:rPr>
            <a:t>In 2019, Coca‑Cola’s net operating revenues increased 9%, driven by 5% underlying volume growth and a 5% benefit from price, product and geographic mix, while acquisitions and divestitures (primarily the Costa coffee acquisition and other portfolio actions) added 7% and foreign currency translation reduced growth by 4%.</a:t>
          </a:r>
        </a:p>
        <a:p>
          <a:pPr marL="0" marR="0" lvl="0" indent="0" defTabSz="914400" eaLnBrk="1" fontAlgn="auto" latinLnBrk="0" hangingPunct="1">
            <a:lnSpc>
              <a:spcPct val="100000"/>
            </a:lnSpc>
            <a:spcBef>
              <a:spcPts val="0"/>
            </a:spcBef>
            <a:spcAft>
              <a:spcPts val="0"/>
            </a:spcAft>
            <a:buClrTx/>
            <a:buSzTx/>
            <a:buFontTx/>
            <a:buNone/>
            <a:tabLst/>
            <a:defRPr/>
          </a:pPr>
          <a:r>
            <a:rPr lang="en-CA" sz="1200" b="0" i="1">
              <a:solidFill>
                <a:schemeClr val="dk1"/>
              </a:solidFill>
              <a:effectLst/>
              <a:latin typeface="+mn-lt"/>
              <a:ea typeface="+mn-ea"/>
              <a:cs typeface="+mn-cs"/>
            </a:rPr>
            <a:t>In 2020, Coca‑Cola’s net operating revenues declined 11% as an 8% drop in concentrate volumes from COVID‑19‑related closures and at‑home channel shift, together with a 2% headwind from adverse price, product and geographic mix and a 2% drag from foreign currency, was only partly offset by a 1% benefit from acquisitions and divestitures.</a:t>
          </a:r>
          <a:endParaRPr lang="en-US" sz="1200"/>
        </a:p>
        <a:p>
          <a:pPr marL="0" marR="0" lvl="0" indent="0" defTabSz="914400" eaLnBrk="1" fontAlgn="auto" latinLnBrk="0" hangingPunct="1">
            <a:lnSpc>
              <a:spcPct val="100000"/>
            </a:lnSpc>
            <a:spcBef>
              <a:spcPts val="0"/>
            </a:spcBef>
            <a:spcAft>
              <a:spcPts val="0"/>
            </a:spcAft>
            <a:buClrTx/>
            <a:buSzTx/>
            <a:buFontTx/>
            <a:buNone/>
            <a:tabLst/>
            <a:defRPr/>
          </a:pPr>
          <a:r>
            <a:rPr lang="en-CA" sz="1200" b="0" i="1">
              <a:solidFill>
                <a:schemeClr val="dk1"/>
              </a:solidFill>
              <a:effectLst/>
              <a:latin typeface="+mn-lt"/>
              <a:ea typeface="+mn-ea"/>
              <a:cs typeface="+mn-cs"/>
            </a:rPr>
            <a:t>In 2021, Coca‑Cola’s net operating revenues grew 17%, with a 9% rebound in concentrate volumes as away‑from‑home consumption normalized, a 6% benefit from price, product and geographic mix reflecting revenue growth management and premium innovation, and a modest 1% tailwind from foreign currency, while acquisitions and divestitures were immaterial.</a:t>
          </a:r>
          <a:endParaRPr lang="en-US" sz="1200"/>
        </a:p>
        <a:p>
          <a:r>
            <a:rPr lang="en-CA" sz="1200" b="0" i="1">
              <a:solidFill>
                <a:schemeClr val="dk1"/>
              </a:solidFill>
              <a:effectLst/>
              <a:latin typeface="+mn-lt"/>
              <a:ea typeface="+mn-ea"/>
              <a:cs typeface="+mn-cs"/>
            </a:rPr>
            <a:t>In 2022, revenues rose 11%, with 5% volume growth and an 11% price/product/geography benefit from broad-based pricing and favorable mix, partly offset by a 7% FX drag, while M&amp;A added 2%.</a:t>
          </a:r>
          <a:br>
            <a:rPr lang="en-CA" sz="1200" b="0" i="1">
              <a:solidFill>
                <a:schemeClr val="dk1"/>
              </a:solidFill>
              <a:effectLst/>
              <a:latin typeface="+mn-lt"/>
              <a:ea typeface="+mn-ea"/>
              <a:cs typeface="+mn-cs"/>
            </a:rPr>
          </a:br>
          <a:r>
            <a:rPr lang="en-CA" sz="1200" b="0" i="1">
              <a:solidFill>
                <a:schemeClr val="dk1"/>
              </a:solidFill>
              <a:effectLst/>
              <a:latin typeface="+mn-lt"/>
              <a:ea typeface="+mn-ea"/>
              <a:cs typeface="+mn-cs"/>
            </a:rPr>
            <a:t> </a:t>
          </a:r>
        </a:p>
        <a:p>
          <a:r>
            <a:rPr lang="en-CA" sz="1200" b="0" i="1">
              <a:solidFill>
                <a:schemeClr val="dk1"/>
              </a:solidFill>
              <a:effectLst/>
              <a:latin typeface="+mn-lt"/>
              <a:ea typeface="+mn-ea"/>
              <a:cs typeface="+mn-cs"/>
            </a:rPr>
            <a:t>In 2023, Coca‑Cola grew revenues 6% as modest 2% volume growth was leveraged into a strong 10% price/mix uplift from inflationary pricing and premiumization, largely offset by a 4% FX headwind and −1% from structural changes.</a:t>
          </a:r>
          <a:br>
            <a:rPr lang="en-CA" sz="1200"/>
          </a:br>
          <a:endParaRPr lang="en-CA" sz="1200"/>
        </a:p>
        <a:p>
          <a:r>
            <a:rPr lang="en-CA" sz="1200" b="0" i="1">
              <a:solidFill>
                <a:schemeClr val="dk1"/>
              </a:solidFill>
              <a:effectLst/>
              <a:latin typeface="+mn-lt"/>
              <a:ea typeface="+mn-ea"/>
              <a:cs typeface="+mn-cs"/>
            </a:rPr>
            <a:t>In 2024, revenues increased 3%, as 2% volume growth and an 11% price/mix tailwind from carryover and new pricing were mostly offset by a 5% FX headwind and a 4% negative impact from refranchising‑related divestitures.</a:t>
          </a:r>
          <a:endParaRPr lang="en-US" sz="1200"/>
        </a:p>
        <a:p>
          <a:pPr marL="0" marR="0" lvl="0" indent="0" defTabSz="914400" eaLnBrk="1" fontAlgn="auto" latinLnBrk="0" hangingPunct="1">
            <a:lnSpc>
              <a:spcPct val="100000"/>
            </a:lnSpc>
            <a:spcBef>
              <a:spcPts val="0"/>
            </a:spcBef>
            <a:spcAft>
              <a:spcPts val="0"/>
            </a:spcAft>
            <a:buClrTx/>
            <a:buSzTx/>
            <a:buFontTx/>
            <a:buNone/>
            <a:tabLst/>
            <a:defRPr/>
          </a:pPr>
          <a:endParaRPr lang="en-US" sz="1200"/>
        </a:p>
        <a:p>
          <a:endParaRPr lang="en-US" sz="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85B4-EE37-CD4A-BF59-E7E324C0F46C}">
  <dimension ref="B2:Q113"/>
  <sheetViews>
    <sheetView showGridLines="0" tabSelected="1" zoomScaleNormal="100" workbookViewId="0">
      <selection activeCell="Y55" sqref="Y55"/>
    </sheetView>
  </sheetViews>
  <sheetFormatPr baseColWidth="10" defaultRowHeight="16" x14ac:dyDescent="0.2"/>
  <cols>
    <col min="2" max="2" width="21.5" bestFit="1" customWidth="1"/>
    <col min="3" max="12" width="10.83203125" style="4"/>
  </cols>
  <sheetData>
    <row r="2" spans="2:12" s="2" customFormat="1" ht="17" thickBot="1" x14ac:dyDescent="0.25">
      <c r="B2" s="2" t="s">
        <v>0</v>
      </c>
      <c r="C2" s="3" t="s">
        <v>1</v>
      </c>
      <c r="D2" s="3" t="s">
        <v>2</v>
      </c>
      <c r="E2" s="3" t="s">
        <v>3</v>
      </c>
      <c r="F2" s="3" t="s">
        <v>4</v>
      </c>
      <c r="G2" s="3" t="s">
        <v>5</v>
      </c>
      <c r="H2" s="3" t="s">
        <v>6</v>
      </c>
      <c r="I2" s="3" t="s">
        <v>7</v>
      </c>
      <c r="J2" s="3" t="s">
        <v>8</v>
      </c>
      <c r="K2" s="3" t="s">
        <v>9</v>
      </c>
      <c r="L2" s="3" t="s">
        <v>10</v>
      </c>
    </row>
    <row r="3" spans="2:12" s="1" customFormat="1" x14ac:dyDescent="0.2">
      <c r="B3" s="1" t="s">
        <v>16</v>
      </c>
      <c r="C3" s="8">
        <v>44294</v>
      </c>
      <c r="D3" s="8">
        <v>41836</v>
      </c>
      <c r="E3" s="8">
        <v>36212</v>
      </c>
      <c r="F3" s="8">
        <v>34300</v>
      </c>
      <c r="G3" s="8">
        <v>37266</v>
      </c>
      <c r="H3" s="8">
        <v>33014</v>
      </c>
      <c r="I3" s="8">
        <v>38655</v>
      </c>
      <c r="J3" s="8">
        <v>43004</v>
      </c>
      <c r="K3" s="8">
        <v>45754</v>
      </c>
      <c r="L3" s="8">
        <v>47061</v>
      </c>
    </row>
    <row r="4" spans="2:12" s="5" customFormat="1" x14ac:dyDescent="0.2">
      <c r="B4" s="5" t="s">
        <v>11</v>
      </c>
      <c r="C4" s="9">
        <v>17482</v>
      </c>
      <c r="D4" s="9">
        <v>16465</v>
      </c>
      <c r="E4" s="9">
        <v>13721</v>
      </c>
      <c r="F4" s="9">
        <v>13067</v>
      </c>
      <c r="G4" s="9">
        <v>14619</v>
      </c>
      <c r="H4" s="9">
        <v>13433</v>
      </c>
      <c r="I4" s="9">
        <v>15357</v>
      </c>
      <c r="J4" s="9">
        <v>18000</v>
      </c>
      <c r="K4" s="9">
        <v>18520</v>
      </c>
      <c r="L4" s="9">
        <v>18324</v>
      </c>
    </row>
    <row r="5" spans="2:12" s="1" customFormat="1" x14ac:dyDescent="0.2">
      <c r="B5" s="1" t="s">
        <v>12</v>
      </c>
      <c r="C5" s="8">
        <v>26812</v>
      </c>
      <c r="D5" s="8">
        <v>25398</v>
      </c>
      <c r="E5" s="8">
        <v>22491</v>
      </c>
      <c r="F5" s="8">
        <v>21233</v>
      </c>
      <c r="G5" s="8">
        <v>22647</v>
      </c>
      <c r="H5" s="8">
        <v>19581</v>
      </c>
      <c r="I5" s="8">
        <v>23298</v>
      </c>
      <c r="J5" s="8">
        <v>25004</v>
      </c>
      <c r="K5" s="8">
        <v>27234</v>
      </c>
      <c r="L5" s="8">
        <v>28737</v>
      </c>
    </row>
    <row r="6" spans="2:12" x14ac:dyDescent="0.2">
      <c r="B6" t="s">
        <v>13</v>
      </c>
      <c r="C6" s="10">
        <v>16427</v>
      </c>
      <c r="D6" s="10">
        <v>15370</v>
      </c>
      <c r="E6" s="10">
        <v>12834</v>
      </c>
      <c r="F6" s="10">
        <v>11002</v>
      </c>
      <c r="G6" s="10">
        <v>12013</v>
      </c>
      <c r="H6" s="10">
        <v>9731</v>
      </c>
      <c r="I6" s="10">
        <v>12144</v>
      </c>
      <c r="J6" s="10">
        <v>12880</v>
      </c>
      <c r="K6" s="10">
        <v>13972</v>
      </c>
      <c r="L6" s="10">
        <v>14582</v>
      </c>
    </row>
    <row r="7" spans="2:12" s="6" customFormat="1" ht="17" thickBot="1" x14ac:dyDescent="0.25">
      <c r="B7" s="6" t="s">
        <v>14</v>
      </c>
      <c r="C7" s="11">
        <v>1657</v>
      </c>
      <c r="D7" s="11">
        <v>1371</v>
      </c>
      <c r="E7" s="11">
        <v>1902</v>
      </c>
      <c r="F7" s="11">
        <v>1079</v>
      </c>
      <c r="G7" s="11">
        <v>458</v>
      </c>
      <c r="H7" s="11">
        <v>853</v>
      </c>
      <c r="I7" s="11">
        <v>846</v>
      </c>
      <c r="J7" s="11">
        <v>1215</v>
      </c>
      <c r="K7" s="11">
        <v>1951</v>
      </c>
      <c r="L7" s="11">
        <v>4163</v>
      </c>
    </row>
    <row r="8" spans="2:12" s="1" customFormat="1" x14ac:dyDescent="0.2">
      <c r="B8" s="1" t="s">
        <v>15</v>
      </c>
      <c r="C8" s="8">
        <v>8728</v>
      </c>
      <c r="D8" s="8">
        <v>8657</v>
      </c>
      <c r="E8" s="8">
        <v>7755</v>
      </c>
      <c r="F8" s="8">
        <v>9152</v>
      </c>
      <c r="G8" s="8">
        <v>10086</v>
      </c>
      <c r="H8" s="8">
        <v>8997</v>
      </c>
      <c r="I8" s="8">
        <v>10308</v>
      </c>
      <c r="J8" s="8">
        <v>10909</v>
      </c>
      <c r="K8" s="8">
        <v>11311</v>
      </c>
      <c r="L8" s="8">
        <v>9992</v>
      </c>
    </row>
    <row r="10" spans="2:12" x14ac:dyDescent="0.2">
      <c r="D10"/>
      <c r="E10"/>
      <c r="F10"/>
      <c r="G10"/>
      <c r="H10"/>
      <c r="I10"/>
      <c r="J10"/>
      <c r="K10"/>
      <c r="L10"/>
    </row>
    <row r="12" spans="2:12" x14ac:dyDescent="0.2">
      <c r="C12" s="4">
        <v>2015</v>
      </c>
      <c r="D12" s="4">
        <v>2016</v>
      </c>
      <c r="E12" s="4">
        <v>2017</v>
      </c>
      <c r="F12" s="4">
        <v>2018</v>
      </c>
      <c r="G12" s="4">
        <v>2019</v>
      </c>
      <c r="H12" s="4">
        <v>2020</v>
      </c>
      <c r="I12" s="4">
        <v>2021</v>
      </c>
      <c r="J12" s="4">
        <v>2022</v>
      </c>
      <c r="K12" s="4">
        <v>2023</v>
      </c>
      <c r="L12" s="4">
        <v>2024</v>
      </c>
    </row>
    <row r="13" spans="2:12" x14ac:dyDescent="0.2">
      <c r="B13" t="s">
        <v>17</v>
      </c>
      <c r="C13"/>
      <c r="D13" s="12">
        <f>(Raw_Financials!D3/Raw_Financials!C3)-1</f>
        <v>-5.5492843274484116E-2</v>
      </c>
      <c r="E13" s="12">
        <f>(Raw_Financials!E3/Raw_Financials!D3)-1</f>
        <v>-0.13442967778946358</v>
      </c>
      <c r="F13" s="12">
        <f>(Raw_Financials!F3/Raw_Financials!E3)-1</f>
        <v>-5.2800176736993221E-2</v>
      </c>
      <c r="G13" s="12">
        <f>(Raw_Financials!G3/Raw_Financials!F3)-1</f>
        <v>8.647230320699717E-2</v>
      </c>
      <c r="H13" s="12">
        <f>(Raw_Financials!H3/Raw_Financials!G3)-1</f>
        <v>-0.11409864219395693</v>
      </c>
      <c r="I13" s="12">
        <f>(Raw_Financials!I3/Raw_Financials!H3)-1</f>
        <v>0.17086690494941537</v>
      </c>
      <c r="J13" s="12">
        <f>(Raw_Financials!J3/Raw_Financials!I3)-1</f>
        <v>0.11250808433579107</v>
      </c>
      <c r="K13" s="12">
        <f>(Raw_Financials!K3/Raw_Financials!J3)-1</f>
        <v>6.3947539763743011E-2</v>
      </c>
      <c r="L13" s="12">
        <f>(Raw_Financials!L3/Raw_Financials!K3)-1</f>
        <v>2.8565808453905772E-2</v>
      </c>
    </row>
    <row r="42" spans="2:12" s="6" customFormat="1" ht="17" thickBot="1" x14ac:dyDescent="0.25">
      <c r="C42" s="7"/>
      <c r="D42" s="7"/>
      <c r="E42" s="7"/>
      <c r="F42" s="7"/>
      <c r="G42" s="7"/>
      <c r="H42" s="7"/>
      <c r="I42" s="7"/>
      <c r="J42" s="7"/>
      <c r="K42" s="7"/>
      <c r="L42" s="7"/>
    </row>
    <row r="46" spans="2:12" x14ac:dyDescent="0.2">
      <c r="C46" s="4">
        <v>2015</v>
      </c>
      <c r="D46" s="4">
        <v>2016</v>
      </c>
      <c r="E46" s="4">
        <v>2017</v>
      </c>
      <c r="F46" s="4">
        <v>2018</v>
      </c>
      <c r="G46" s="4">
        <v>2019</v>
      </c>
      <c r="H46" s="4">
        <v>2020</v>
      </c>
      <c r="I46" s="4">
        <v>2021</v>
      </c>
      <c r="J46" s="4">
        <v>2022</v>
      </c>
      <c r="K46" s="4">
        <v>2023</v>
      </c>
      <c r="L46" s="4">
        <v>2024</v>
      </c>
    </row>
    <row r="47" spans="2:12" x14ac:dyDescent="0.2">
      <c r="B47" t="s">
        <v>18</v>
      </c>
      <c r="C47" s="12">
        <f t="shared" ref="C47:L47" si="0">C5/C3</f>
        <v>0.60531900483135415</v>
      </c>
      <c r="D47" s="12">
        <f t="shared" si="0"/>
        <v>0.60708480734295822</v>
      </c>
      <c r="E47" s="12">
        <f t="shared" si="0"/>
        <v>0.62109245553960013</v>
      </c>
      <c r="F47" s="12">
        <f t="shared" si="0"/>
        <v>0.61903790087463562</v>
      </c>
      <c r="G47" s="12">
        <f t="shared" si="0"/>
        <v>0.60771212365158589</v>
      </c>
      <c r="H47" s="12">
        <f t="shared" si="0"/>
        <v>0.59311201308535777</v>
      </c>
      <c r="I47" s="12">
        <f t="shared" si="0"/>
        <v>0.60271633682576642</v>
      </c>
      <c r="J47" s="12">
        <f t="shared" si="0"/>
        <v>0.58143428518277374</v>
      </c>
      <c r="K47" s="12">
        <f t="shared" si="0"/>
        <v>0.5952266468505486</v>
      </c>
      <c r="L47" s="12">
        <f t="shared" si="0"/>
        <v>0.61063300822336963</v>
      </c>
    </row>
    <row r="74" spans="2:12" s="6" customFormat="1" ht="17" thickBot="1" x14ac:dyDescent="0.25">
      <c r="C74" s="7"/>
      <c r="D74" s="7"/>
      <c r="E74" s="7"/>
      <c r="F74" s="7"/>
      <c r="G74" s="7"/>
      <c r="H74" s="7"/>
      <c r="I74" s="7"/>
      <c r="J74" s="7"/>
      <c r="K74" s="7"/>
      <c r="L74" s="7"/>
    </row>
    <row r="78" spans="2:12" x14ac:dyDescent="0.2">
      <c r="C78" s="4">
        <v>2015</v>
      </c>
      <c r="D78" s="4">
        <v>2016</v>
      </c>
      <c r="E78" s="4">
        <v>2017</v>
      </c>
      <c r="F78" s="4">
        <v>2018</v>
      </c>
      <c r="G78" s="4">
        <v>2019</v>
      </c>
      <c r="H78" s="4">
        <v>2020</v>
      </c>
      <c r="I78" s="4">
        <v>2021</v>
      </c>
      <c r="J78" s="4">
        <v>2022</v>
      </c>
      <c r="K78" s="4">
        <v>2023</v>
      </c>
      <c r="L78" s="4">
        <v>2024</v>
      </c>
    </row>
    <row r="79" spans="2:12" x14ac:dyDescent="0.2">
      <c r="B79" t="s">
        <v>19</v>
      </c>
      <c r="C79" s="15">
        <f t="shared" ref="C79:L79" si="1">C6/C3</f>
        <v>0.37086287081771796</v>
      </c>
      <c r="D79" s="15">
        <f t="shared" si="1"/>
        <v>0.36738693947796158</v>
      </c>
      <c r="E79" s="15">
        <f t="shared" si="1"/>
        <v>0.35441290180050811</v>
      </c>
      <c r="F79" s="15">
        <f t="shared" si="1"/>
        <v>0.32075801749271138</v>
      </c>
      <c r="G79" s="15">
        <f t="shared" si="1"/>
        <v>0.32235818172060321</v>
      </c>
      <c r="H79" s="15">
        <f t="shared" si="1"/>
        <v>0.29475374083722056</v>
      </c>
      <c r="I79" s="15">
        <f t="shared" si="1"/>
        <v>0.31416375630578192</v>
      </c>
      <c r="J79" s="15">
        <f t="shared" si="1"/>
        <v>0.29950702260254858</v>
      </c>
      <c r="K79" s="15">
        <f t="shared" si="1"/>
        <v>0.30537220789439173</v>
      </c>
      <c r="L79" s="15">
        <f t="shared" si="1"/>
        <v>0.30985316929092027</v>
      </c>
    </row>
    <row r="80" spans="2:12" x14ac:dyDescent="0.2">
      <c r="B80" t="s">
        <v>21</v>
      </c>
      <c r="D80" s="14">
        <f>(D6/C6)-1</f>
        <v>-6.4345285201193203E-2</v>
      </c>
      <c r="E80" s="14">
        <f t="shared" ref="E80:L80" si="2">(E6/D6)-1</f>
        <v>-0.16499674690956412</v>
      </c>
      <c r="F80" s="14">
        <f t="shared" si="2"/>
        <v>-0.14274583138538255</v>
      </c>
      <c r="G80" s="14">
        <f t="shared" si="2"/>
        <v>9.189238320305404E-2</v>
      </c>
      <c r="H80" s="14">
        <f t="shared" si="2"/>
        <v>-0.18996087571797216</v>
      </c>
      <c r="I80" s="14">
        <f t="shared" si="2"/>
        <v>0.24797040386394009</v>
      </c>
      <c r="J80" s="14">
        <f t="shared" si="2"/>
        <v>6.0606060606060552E-2</v>
      </c>
      <c r="K80" s="14">
        <f t="shared" si="2"/>
        <v>8.478260869565224E-2</v>
      </c>
      <c r="L80" s="14">
        <f t="shared" si="2"/>
        <v>4.3658746063555576E-2</v>
      </c>
    </row>
    <row r="83" spans="2:11" x14ac:dyDescent="0.2">
      <c r="B83" s="13"/>
      <c r="C83" s="13"/>
      <c r="D83" s="13"/>
      <c r="E83" s="13"/>
      <c r="F83" s="13"/>
      <c r="G83" s="13"/>
      <c r="H83" s="13"/>
      <c r="I83" s="13"/>
      <c r="J83" s="13"/>
      <c r="K83" s="13"/>
    </row>
    <row r="105" spans="3:17" x14ac:dyDescent="0.2">
      <c r="M105" s="4"/>
      <c r="N105" s="4"/>
      <c r="O105" s="4"/>
      <c r="P105" s="4"/>
      <c r="Q105" s="4"/>
    </row>
    <row r="106" spans="3:17" s="6" customFormat="1" ht="17" thickBot="1" x14ac:dyDescent="0.25">
      <c r="C106" s="7"/>
      <c r="D106" s="7"/>
      <c r="E106" s="7"/>
      <c r="F106" s="7"/>
      <c r="G106" s="7"/>
      <c r="H106" s="7"/>
      <c r="I106" s="7"/>
      <c r="J106" s="7"/>
      <c r="K106" s="7"/>
      <c r="L106" s="7"/>
    </row>
    <row r="112" spans="3:17" x14ac:dyDescent="0.2">
      <c r="C112" s="4">
        <v>2015</v>
      </c>
      <c r="D112" s="4">
        <v>2016</v>
      </c>
      <c r="E112" s="4">
        <v>2017</v>
      </c>
      <c r="F112" s="4">
        <v>2018</v>
      </c>
      <c r="G112" s="4">
        <v>2019</v>
      </c>
      <c r="H112" s="4">
        <v>2020</v>
      </c>
      <c r="I112" s="4">
        <v>2021</v>
      </c>
      <c r="J112" s="4">
        <v>2022</v>
      </c>
      <c r="K112" s="4">
        <v>2023</v>
      </c>
      <c r="L112" s="4">
        <v>2024</v>
      </c>
    </row>
    <row r="113" spans="2:12" x14ac:dyDescent="0.2">
      <c r="B113" t="s">
        <v>20</v>
      </c>
      <c r="C113" s="12">
        <f t="shared" ref="C113:L113" si="3">C8/C3</f>
        <v>0.19704700410890866</v>
      </c>
      <c r="D113" s="12">
        <f t="shared" si="3"/>
        <v>0.2069270484749976</v>
      </c>
      <c r="E113" s="12">
        <f t="shared" si="3"/>
        <v>0.21415552855407047</v>
      </c>
      <c r="F113" s="12">
        <f t="shared" si="3"/>
        <v>0.26682215743440235</v>
      </c>
      <c r="G113" s="12">
        <f t="shared" si="3"/>
        <v>0.27064884881661566</v>
      </c>
      <c r="H113" s="12">
        <f t="shared" si="3"/>
        <v>0.27252074877324772</v>
      </c>
      <c r="I113" s="12">
        <f t="shared" si="3"/>
        <v>0.26666666666666666</v>
      </c>
      <c r="J113" s="12">
        <f t="shared" si="3"/>
        <v>0.25367407683006232</v>
      </c>
      <c r="K113" s="12">
        <f t="shared" si="3"/>
        <v>0.24721335839489444</v>
      </c>
      <c r="L113" s="12">
        <f t="shared" si="3"/>
        <v>0.21232018019166612</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Raw_Financials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Yuvraj Rajput</dc:creator>
  <cp:lastModifiedBy>Yuvraj Rajput</cp:lastModifiedBy>
  <dcterms:created xsi:type="dcterms:W3CDTF">2026-01-04T23:36:12Z</dcterms:created>
  <dcterms:modified xsi:type="dcterms:W3CDTF">2026-01-06T21:15:08Z</dcterms:modified>
</cp:coreProperties>
</file>